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\Dropbox\Research BWC Aman P\"/>
    </mc:Choice>
  </mc:AlternateContent>
  <xr:revisionPtr revIDLastSave="0" documentId="13_ncr:1_{A2FE2D7A-A584-492E-B76B-F968A6A98D22}" xr6:coauthVersionLast="47" xr6:coauthVersionMax="47" xr10:uidLastSave="{00000000-0000-0000-0000-000000000000}"/>
  <bookViews>
    <workbookView xWindow="768" yWindow="768" windowWidth="17280" windowHeight="9960" xr2:uid="{B706B681-E387-4D91-ACC8-B8435F82D040}"/>
  </bookViews>
  <sheets>
    <sheet name="Sheet1" sheetId="1" r:id="rId1"/>
  </sheets>
  <definedNames>
    <definedName name="_xlnm._FilterDatabase" localSheetId="0" hidden="1">Sheet1!$A$4:$P$18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7" i="1" s="1"/>
  <c r="M13" i="1"/>
  <c r="M16" i="1" s="1"/>
  <c r="M11" i="1"/>
  <c r="M10" i="1"/>
  <c r="M15" i="1" s="1"/>
  <c r="M18" i="1" s="1"/>
  <c r="M9" i="1"/>
  <c r="M14" i="1" s="1"/>
  <c r="K18" i="1"/>
  <c r="K7" i="1"/>
  <c r="K8" i="1"/>
  <c r="K9" i="1"/>
  <c r="K10" i="1"/>
  <c r="K11" i="1"/>
  <c r="K12" i="1"/>
  <c r="K14" i="1"/>
  <c r="K15" i="1"/>
  <c r="K16" i="1"/>
  <c r="K5" i="1"/>
  <c r="I8" i="1"/>
  <c r="I7" i="1"/>
  <c r="I5" i="1"/>
  <c r="I15" i="1"/>
  <c r="I14" i="1"/>
  <c r="I13" i="1"/>
  <c r="I12" i="1"/>
  <c r="I18" i="1"/>
  <c r="I16" i="1"/>
  <c r="I11" i="1"/>
  <c r="I10" i="1"/>
  <c r="I9" i="1"/>
  <c r="H17" i="1"/>
  <c r="K17" i="1" s="1"/>
  <c r="H13" i="1"/>
  <c r="K13" i="1" s="1"/>
  <c r="H6" i="1"/>
  <c r="K6" i="1" s="1"/>
  <c r="I17" i="1" l="1"/>
  <c r="I6" i="1"/>
</calcChain>
</file>

<file path=xl/sharedStrings.xml><?xml version="1.0" encoding="utf-8"?>
<sst xmlns="http://schemas.openxmlformats.org/spreadsheetml/2006/main" count="87" uniqueCount="64">
  <si>
    <t>Search Bar:</t>
  </si>
  <si>
    <t>&lt; Please make a search bar that allows me to find key words (could be client/ family name/ rm etc)</t>
  </si>
  <si>
    <t>Client Name</t>
  </si>
  <si>
    <t>Email</t>
  </si>
  <si>
    <t>Mobile</t>
  </si>
  <si>
    <t>Account Type</t>
  </si>
  <si>
    <t>Country of Residence</t>
  </si>
  <si>
    <t>Occupation</t>
  </si>
  <si>
    <t>Activation Date</t>
  </si>
  <si>
    <t>AUM</t>
  </si>
  <si>
    <t>Net Addition / Withdrawal</t>
  </si>
  <si>
    <t>Net Investment Value</t>
  </si>
  <si>
    <t>Cash Allocation</t>
  </si>
  <si>
    <t>Cash as % of Market Value</t>
  </si>
  <si>
    <t>RM</t>
  </si>
  <si>
    <t>Family</t>
  </si>
  <si>
    <t>Notes</t>
  </si>
  <si>
    <t>SIP</t>
  </si>
  <si>
    <t>Aman P</t>
  </si>
  <si>
    <t>aman@gmail.com</t>
  </si>
  <si>
    <t>Pool Account</t>
  </si>
  <si>
    <t>Ranjit</t>
  </si>
  <si>
    <t>&lt; Call once a month</t>
  </si>
  <si>
    <t>Aarav K</t>
  </si>
  <si>
    <t>aarav@gmail.com</t>
  </si>
  <si>
    <t>Miten</t>
  </si>
  <si>
    <t>Bob Marley</t>
  </si>
  <si>
    <t>bob@marley.com</t>
  </si>
  <si>
    <t>NRI</t>
  </si>
  <si>
    <t>Distributor 1</t>
  </si>
  <si>
    <t>John Smith</t>
  </si>
  <si>
    <t>john@icloud.com</t>
  </si>
  <si>
    <t>Distributor 2</t>
  </si>
  <si>
    <t>Smith Family</t>
  </si>
  <si>
    <t>Ronald McDonald</t>
  </si>
  <si>
    <t>ronald@hotmail.com</t>
  </si>
  <si>
    <t>&lt; Follow up for additional investments</t>
  </si>
  <si>
    <t>Kevin Hart</t>
  </si>
  <si>
    <t>kevin@yahoo.mail</t>
  </si>
  <si>
    <t>Tony Stark HUF</t>
  </si>
  <si>
    <t>tony@starkindustries.com</t>
  </si>
  <si>
    <t>Stark Family</t>
  </si>
  <si>
    <t xml:space="preserve">Tony Stark </t>
  </si>
  <si>
    <t>Michelle Smith</t>
  </si>
  <si>
    <t>smithings@gmail.com</t>
  </si>
  <si>
    <t>John Doe</t>
  </si>
  <si>
    <t>doejohn@capital.com</t>
  </si>
  <si>
    <t>James Smith</t>
  </si>
  <si>
    <t>james23@hotmail.com</t>
  </si>
  <si>
    <t>Catherine Patel</t>
  </si>
  <si>
    <t>Aditya Roy</t>
  </si>
  <si>
    <t>roy@outlook.com</t>
  </si>
  <si>
    <t>Nagesh Patel</t>
  </si>
  <si>
    <t>nagesh@gmail.com</t>
  </si>
  <si>
    <t>&lt; Notice how I can sort filter by each column each column should have a filter built in</t>
  </si>
  <si>
    <t>&lt; Want the names linked to portfolio report in wealthspectrum. If I click on Tony Stark I want his report to open in PDF form (or atleast open in another tab)</t>
  </si>
  <si>
    <t>Cash as % of AUM</t>
  </si>
  <si>
    <t>&lt; This one might be a calculation. Formula would be cash/AUM</t>
  </si>
  <si>
    <t>&lt; RM details are on Salesforce, if on Wealth Spectrum as well please take from there</t>
  </si>
  <si>
    <t>&lt; Please allow this column to be editable</t>
  </si>
  <si>
    <t xml:space="preserve">Manual inputs </t>
  </si>
  <si>
    <t>&lt; Family details might be saved in wealth spectrum in some case</t>
  </si>
  <si>
    <t>&lt; Allow users to edit (save edit history with date code so can view historic notes</t>
  </si>
  <si>
    <t xml:space="preserve">&lt; Manual input Yes/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</si>
</sst>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 [$₹-4009]\ * #,##0.00_ ;_ [$₹-4009]\ * \-#,##0.00_ ;_ [$₹-4009]\ * &quot;-&quot;??_ ;_ @_ "/>
    <numFmt numFmtId="166" formatCode="_ [$₹-4009]\ * #,##0_ ;_ [$₹-4009]\ * \-#,##0_ ;_ [$₹-4009]\ * &quot;-&quot;??_ ;_ @_ "/>
    <numFmt numFmtId="167" formatCode="_ [$₹-4009]\ * #,##0.0_ ;_ [$₹-4009]\ * \-#,##0.0_ ;_ [$₹-4009]\ * &quot;-&quot;?_ ;_ @_ "/>
    <numFmt numFmtId="168" formatCode="_ [$₹-4009]\ * #,##0_ ;_ [$₹-4009]\ * \-#,##0_ ;_ [$₹-4009]\ * &quot;-&quot;????_ ;_ @_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2" xfId="0" applyBorder="1"/>
    <xf numFmtId="0" fontId="7" fillId="0" borderId="0" xfId="0" applyFont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1" xfId="2" applyNumberFormat="1" applyFont="1" applyFill="1" applyBorder="1" applyAlignment="1">
      <alignment horizontal="center" vertical="center" wrapText="1"/>
    </xf>
    <xf numFmtId="0" fontId="0" fillId="0" borderId="3" xfId="0" applyBorder="1"/>
    <xf numFmtId="14" fontId="0" fillId="0" borderId="3" xfId="0" applyNumberFormat="1" applyBorder="1"/>
    <xf numFmtId="14" fontId="0" fillId="0" borderId="5" xfId="0" applyNumberFormat="1" applyBorder="1"/>
    <xf numFmtId="165" fontId="0" fillId="0" borderId="3" xfId="0" applyNumberFormat="1" applyBorder="1"/>
    <xf numFmtId="166" fontId="0" fillId="0" borderId="3" xfId="1" applyNumberFormat="1" applyFont="1" applyBorder="1"/>
    <xf numFmtId="166" fontId="0" fillId="0" borderId="5" xfId="1" applyNumberFormat="1" applyFont="1" applyBorder="1"/>
    <xf numFmtId="167" fontId="0" fillId="0" borderId="3" xfId="0" applyNumberFormat="1" applyBorder="1"/>
    <xf numFmtId="167" fontId="0" fillId="0" borderId="5" xfId="0" applyNumberFormat="1" applyBorder="1"/>
    <xf numFmtId="168" fontId="0" fillId="0" borderId="3" xfId="0" applyNumberFormat="1" applyBorder="1"/>
    <xf numFmtId="168" fontId="0" fillId="0" borderId="5" xfId="0" applyNumberFormat="1" applyBorder="1"/>
    <xf numFmtId="0" fontId="0" fillId="0" borderId="6" xfId="0" applyBorder="1"/>
    <xf numFmtId="0" fontId="6" fillId="0" borderId="3" xfId="6" applyBorder="1"/>
    <xf numFmtId="0" fontId="6" fillId="0" borderId="5" xfId="6" applyBorder="1"/>
    <xf numFmtId="0" fontId="8" fillId="2" borderId="1" xfId="2" applyNumberFormat="1" applyFont="1" applyFill="1" applyBorder="1" applyAlignment="1">
      <alignment horizontal="center" vertical="center" wrapText="1"/>
    </xf>
    <xf numFmtId="0" fontId="8" fillId="3" borderId="1" xfId="2" applyNumberFormat="1" applyFont="1" applyFill="1" applyBorder="1" applyAlignment="1">
      <alignment horizontal="center" vertical="center" wrapText="1"/>
    </xf>
    <xf numFmtId="0" fontId="8" fillId="4" borderId="1" xfId="2" applyNumberFormat="1" applyFont="1" applyFill="1" applyBorder="1" applyAlignment="1">
      <alignment horizontal="center" vertical="center" wrapText="1"/>
    </xf>
    <xf numFmtId="0" fontId="2" fillId="4" borderId="2" xfId="0" applyFont="1" applyFill="1" applyBorder="1"/>
    <xf numFmtId="0" fontId="2" fillId="0" borderId="2" xfId="0" applyFont="1" applyBorder="1"/>
    <xf numFmtId="0" fontId="2" fillId="3" borderId="2" xfId="0" applyFont="1" applyFill="1" applyBorder="1"/>
    <xf numFmtId="0" fontId="8" fillId="5" borderId="1" xfId="2" applyNumberFormat="1" applyFont="1" applyFill="1" applyBorder="1" applyAlignment="1">
      <alignment horizontal="center" vertical="center" wrapText="1"/>
    </xf>
    <xf numFmtId="0" fontId="2" fillId="5" borderId="2" xfId="0" applyFont="1" applyFill="1" applyBorder="1"/>
    <xf numFmtId="0" fontId="2" fillId="0" borderId="0" xfId="0" applyFont="1"/>
    <xf numFmtId="0" fontId="2" fillId="2" borderId="2" xfId="0" applyFont="1" applyFill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7">
    <cellStyle name="Comma" xfId="1" builtinId="3"/>
    <cellStyle name="Hyperlink" xfId="6" builtinId="8"/>
    <cellStyle name="Normal" xfId="0" builtinId="0"/>
    <cellStyle name="Normal 2" xfId="2" xr:uid="{ED74197F-BAB5-4D83-A81C-5DA0829A6834}"/>
    <cellStyle name="Normal 2 2" xfId="5" xr:uid="{36275192-42F3-4867-88A7-9BF7847EC027}"/>
    <cellStyle name="Normal 3" xfId="3" xr:uid="{18EDDC98-C8A3-4B15-968F-52D4697F1F32}"/>
    <cellStyle name="Percent 2" xfId="4" xr:uid="{A776CA6B-3E92-46C6-A55A-3753CBBA820F}"/>
  </cellStyles>
  <dxfs count="0"/>
  <tableStyles count="0" defaultTableStyle="TableStyleMedium2" defaultPivotStyle="PivotStyleLight16"/>
  <colors>
    <mruColors>
      <color rgb="FF66FF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ny@starkindustries.com" TargetMode="External"/><Relationship Id="rId13" Type="http://schemas.openxmlformats.org/officeDocument/2006/relationships/hyperlink" Target="mailto:roy@outlook.com" TargetMode="External"/><Relationship Id="rId3" Type="http://schemas.openxmlformats.org/officeDocument/2006/relationships/hyperlink" Target="mailto:bob@marley.com" TargetMode="External"/><Relationship Id="rId7" Type="http://schemas.openxmlformats.org/officeDocument/2006/relationships/hyperlink" Target="mailto:tony@starkindustries.com" TargetMode="External"/><Relationship Id="rId12" Type="http://schemas.openxmlformats.org/officeDocument/2006/relationships/hyperlink" Target="mailto:james23@hotmail.com" TargetMode="External"/><Relationship Id="rId2" Type="http://schemas.openxmlformats.org/officeDocument/2006/relationships/hyperlink" Target="mailto:aarav@gmail.com" TargetMode="External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kevin@yahoo.mail" TargetMode="External"/><Relationship Id="rId11" Type="http://schemas.openxmlformats.org/officeDocument/2006/relationships/hyperlink" Target="mailto:doejohn@capital.com" TargetMode="External"/><Relationship Id="rId5" Type="http://schemas.openxmlformats.org/officeDocument/2006/relationships/hyperlink" Target="mailto:ronald@hot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mithings@gmail.com" TargetMode="External"/><Relationship Id="rId4" Type="http://schemas.openxmlformats.org/officeDocument/2006/relationships/hyperlink" Target="mailto:john@icloud.com" TargetMode="External"/><Relationship Id="rId9" Type="http://schemas.openxmlformats.org/officeDocument/2006/relationships/hyperlink" Target="mailto:tony@starkindustries.com" TargetMode="External"/><Relationship Id="rId14" Type="http://schemas.openxmlformats.org/officeDocument/2006/relationships/hyperlink" Target="mailto:nag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E4B1-C496-423B-866E-5B95203B1BCE}">
  <sheetPr>
    <pageSetUpPr fitToPage="1"/>
  </sheetPr>
  <dimension ref="A1:P1048572"/>
  <sheetViews>
    <sheetView tabSelected="1" zoomScaleNormal="100" workbookViewId="0">
      <selection sqref="A1:A1048576"/>
    </sheetView>
  </sheetViews>
  <sheetFormatPr defaultRowHeight="14.45"/>
  <cols>
    <col min="1" max="1" width="15.5703125" style="1" customWidth="1"/>
    <col min="2" max="2" width="23.28515625" customWidth="1"/>
    <col min="3" max="3" width="7.42578125" customWidth="1"/>
    <col min="4" max="6" width="11.7109375" customWidth="1"/>
    <col min="7" max="7" width="15.85546875" customWidth="1"/>
    <col min="8" max="8" width="18.85546875" customWidth="1"/>
    <col min="9" max="9" width="26" customWidth="1"/>
    <col min="10" max="10" width="21.7109375" customWidth="1"/>
    <col min="11" max="12" width="17.42578125" customWidth="1"/>
    <col min="13" max="13" width="11.42578125" bestFit="1" customWidth="1"/>
    <col min="14" max="14" width="11.7109375" bestFit="1" customWidth="1"/>
    <col min="15" max="15" width="62.5703125" bestFit="1" customWidth="1"/>
    <col min="16" max="16" width="4.28515625" bestFit="1" customWidth="1"/>
  </cols>
  <sheetData>
    <row r="1" spans="1:16">
      <c r="A1" s="3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32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spans="1:16" s="2" customFormat="1" ht="31.15">
      <c r="A4" s="23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27" t="s">
        <v>13</v>
      </c>
      <c r="M4" s="22" t="s">
        <v>14</v>
      </c>
      <c r="N4" s="21" t="s">
        <v>15</v>
      </c>
      <c r="O4" s="21" t="s">
        <v>16</v>
      </c>
      <c r="P4" s="21" t="s">
        <v>17</v>
      </c>
    </row>
    <row r="5" spans="1:16">
      <c r="A5" s="8" t="s">
        <v>18</v>
      </c>
      <c r="B5" s="19" t="s">
        <v>19</v>
      </c>
      <c r="C5" s="8"/>
      <c r="D5" s="8" t="s">
        <v>20</v>
      </c>
      <c r="E5" s="8"/>
      <c r="F5" s="8"/>
      <c r="G5" s="9">
        <v>45170</v>
      </c>
      <c r="H5" s="12">
        <v>15000000</v>
      </c>
      <c r="I5" s="11">
        <f>0.25*H5</f>
        <v>3750000</v>
      </c>
      <c r="J5" s="8"/>
      <c r="K5" s="16">
        <f t="shared" ref="K5:K18" si="0">0.1978*H5</f>
        <v>2967000</v>
      </c>
      <c r="L5" s="16"/>
      <c r="M5" s="3" t="s">
        <v>21</v>
      </c>
      <c r="N5" s="8"/>
      <c r="O5" s="8" t="s">
        <v>22</v>
      </c>
      <c r="P5" s="8"/>
    </row>
    <row r="6" spans="1:16">
      <c r="A6" s="8" t="s">
        <v>23</v>
      </c>
      <c r="B6" s="19" t="s">
        <v>24</v>
      </c>
      <c r="C6" s="8"/>
      <c r="D6" s="8" t="s">
        <v>20</v>
      </c>
      <c r="E6" s="8"/>
      <c r="F6" s="8"/>
      <c r="G6" s="9">
        <v>37265</v>
      </c>
      <c r="H6" s="12">
        <f>H5*0.79</f>
        <v>11850000</v>
      </c>
      <c r="I6" s="11">
        <f>0.85*H6</f>
        <v>10072500</v>
      </c>
      <c r="J6" s="8"/>
      <c r="K6" s="16">
        <f t="shared" si="0"/>
        <v>2343930</v>
      </c>
      <c r="L6" s="16"/>
      <c r="M6" s="8" t="s">
        <v>25</v>
      </c>
      <c r="N6" s="8"/>
      <c r="O6" s="8"/>
      <c r="P6" s="8"/>
    </row>
    <row r="7" spans="1:16">
      <c r="A7" s="8" t="s">
        <v>26</v>
      </c>
      <c r="B7" s="19" t="s">
        <v>27</v>
      </c>
      <c r="C7" s="8"/>
      <c r="D7" s="8" t="s">
        <v>28</v>
      </c>
      <c r="E7" s="8"/>
      <c r="F7" s="8"/>
      <c r="G7" s="9">
        <v>38874</v>
      </c>
      <c r="H7" s="12">
        <v>16589752</v>
      </c>
      <c r="I7" s="11">
        <f>1.1*H7</f>
        <v>18248727.200000003</v>
      </c>
      <c r="J7" s="8"/>
      <c r="K7" s="16">
        <f t="shared" si="0"/>
        <v>3281452.9456000002</v>
      </c>
      <c r="L7" s="16"/>
      <c r="M7" s="8" t="s">
        <v>29</v>
      </c>
      <c r="N7" s="8"/>
      <c r="O7" s="8"/>
      <c r="P7" s="8"/>
    </row>
    <row r="8" spans="1:16">
      <c r="A8" s="8" t="s">
        <v>30</v>
      </c>
      <c r="B8" s="19" t="s">
        <v>31</v>
      </c>
      <c r="C8" s="8"/>
      <c r="D8" s="8" t="s">
        <v>28</v>
      </c>
      <c r="E8" s="8"/>
      <c r="F8" s="8"/>
      <c r="G8" s="9">
        <v>38065</v>
      </c>
      <c r="H8" s="12">
        <v>121599784</v>
      </c>
      <c r="I8" s="14">
        <f>0.2*H8</f>
        <v>24319956.800000001</v>
      </c>
      <c r="J8" s="8"/>
      <c r="K8" s="16">
        <f t="shared" si="0"/>
        <v>24052437.275200002</v>
      </c>
      <c r="L8" s="16"/>
      <c r="M8" s="8" t="s">
        <v>32</v>
      </c>
      <c r="N8" s="8" t="s">
        <v>33</v>
      </c>
      <c r="O8" s="8"/>
      <c r="P8" s="8"/>
    </row>
    <row r="9" spans="1:16">
      <c r="A9" s="8" t="s">
        <v>34</v>
      </c>
      <c r="B9" s="19" t="s">
        <v>35</v>
      </c>
      <c r="C9" s="8"/>
      <c r="D9" s="8" t="s">
        <v>28</v>
      </c>
      <c r="E9" s="8"/>
      <c r="F9" s="8"/>
      <c r="G9" s="9">
        <v>44257</v>
      </c>
      <c r="H9" s="12">
        <v>155515845</v>
      </c>
      <c r="I9" s="14">
        <f>0.2*H9</f>
        <v>31103169</v>
      </c>
      <c r="J9" s="8"/>
      <c r="K9" s="16">
        <f t="shared" si="0"/>
        <v>30761034.140999999</v>
      </c>
      <c r="L9" s="16"/>
      <c r="M9" s="8" t="str">
        <f>M8</f>
        <v>Distributor 2</v>
      </c>
      <c r="N9" s="8"/>
      <c r="O9" s="8" t="s">
        <v>36</v>
      </c>
      <c r="P9" s="8"/>
    </row>
    <row r="10" spans="1:16">
      <c r="A10" s="8" t="s">
        <v>37</v>
      </c>
      <c r="B10" s="19" t="s">
        <v>38</v>
      </c>
      <c r="C10" s="8"/>
      <c r="D10" s="8" t="s">
        <v>20</v>
      </c>
      <c r="E10" s="8"/>
      <c r="F10" s="8"/>
      <c r="G10" s="9">
        <v>39537</v>
      </c>
      <c r="H10" s="12">
        <v>14515480</v>
      </c>
      <c r="I10" s="11">
        <f>0.25*H10</f>
        <v>3628870</v>
      </c>
      <c r="J10" s="8"/>
      <c r="K10" s="16">
        <f t="shared" si="0"/>
        <v>2871161.9440000001</v>
      </c>
      <c r="L10" s="16"/>
      <c r="M10" s="8" t="str">
        <f t="shared" ref="M10:M15" si="1">M5</f>
        <v>Ranjit</v>
      </c>
      <c r="N10" s="8"/>
      <c r="O10" s="8"/>
      <c r="P10" s="8"/>
    </row>
    <row r="11" spans="1:16">
      <c r="A11" s="8" t="s">
        <v>39</v>
      </c>
      <c r="B11" s="19" t="s">
        <v>40</v>
      </c>
      <c r="C11" s="8"/>
      <c r="D11" s="8" t="s">
        <v>28</v>
      </c>
      <c r="E11" s="8"/>
      <c r="F11" s="8"/>
      <c r="G11" s="9">
        <v>37267</v>
      </c>
      <c r="H11" s="12">
        <v>15414818</v>
      </c>
      <c r="I11" s="11">
        <f>0.85*H11</f>
        <v>13102595.299999999</v>
      </c>
      <c r="J11" s="8"/>
      <c r="K11" s="16">
        <f t="shared" si="0"/>
        <v>3049051.0004000003</v>
      </c>
      <c r="L11" s="16"/>
      <c r="M11" s="8" t="str">
        <f t="shared" si="1"/>
        <v>Miten</v>
      </c>
      <c r="N11" s="8" t="s">
        <v>41</v>
      </c>
      <c r="O11" s="8"/>
      <c r="P11" s="8"/>
    </row>
    <row r="12" spans="1:16">
      <c r="A12" s="8" t="s">
        <v>42</v>
      </c>
      <c r="B12" s="19" t="s">
        <v>40</v>
      </c>
      <c r="C12" s="8"/>
      <c r="D12" s="8" t="s">
        <v>28</v>
      </c>
      <c r="E12" s="8"/>
      <c r="F12" s="8"/>
      <c r="G12" s="9">
        <v>45901</v>
      </c>
      <c r="H12" s="12">
        <v>41564469</v>
      </c>
      <c r="I12" s="11">
        <f>0.25*H12</f>
        <v>10391117.25</v>
      </c>
      <c r="J12" s="8"/>
      <c r="K12" s="16">
        <f t="shared" si="0"/>
        <v>8221451.9682</v>
      </c>
      <c r="L12" s="16"/>
      <c r="M12" s="8" t="str">
        <f t="shared" si="1"/>
        <v>Distributor 1</v>
      </c>
      <c r="N12" s="8" t="s">
        <v>41</v>
      </c>
      <c r="O12" s="8"/>
      <c r="P12" s="8"/>
    </row>
    <row r="13" spans="1:16">
      <c r="A13" s="8" t="s">
        <v>43</v>
      </c>
      <c r="B13" s="19" t="s">
        <v>44</v>
      </c>
      <c r="C13" s="8"/>
      <c r="D13" s="8" t="s">
        <v>20</v>
      </c>
      <c r="E13" s="8"/>
      <c r="F13" s="8"/>
      <c r="G13" s="9">
        <v>38665</v>
      </c>
      <c r="H13" s="12">
        <f>H12*0.79</f>
        <v>32835930.510000002</v>
      </c>
      <c r="I13" s="11">
        <f>0.85*H13</f>
        <v>27910540.933499999</v>
      </c>
      <c r="J13" s="8"/>
      <c r="K13" s="16">
        <f t="shared" si="0"/>
        <v>6494947.0548780002</v>
      </c>
      <c r="L13" s="16"/>
      <c r="M13" s="8" t="str">
        <f t="shared" si="1"/>
        <v>Distributor 2</v>
      </c>
      <c r="N13" s="8" t="s">
        <v>33</v>
      </c>
      <c r="O13" s="8"/>
      <c r="P13" s="8"/>
    </row>
    <row r="14" spans="1:16">
      <c r="A14" s="8" t="s">
        <v>45</v>
      </c>
      <c r="B14" s="19" t="s">
        <v>46</v>
      </c>
      <c r="C14" s="8"/>
      <c r="D14" s="8" t="s">
        <v>28</v>
      </c>
      <c r="E14" s="8"/>
      <c r="F14" s="8"/>
      <c r="G14" s="9">
        <v>37913</v>
      </c>
      <c r="H14" s="12">
        <v>35248987</v>
      </c>
      <c r="I14" s="11">
        <f>1.1*H14</f>
        <v>38773885.700000003</v>
      </c>
      <c r="J14" s="8"/>
      <c r="K14" s="16">
        <f t="shared" si="0"/>
        <v>6972249.6286000004</v>
      </c>
      <c r="L14" s="16"/>
      <c r="M14" s="8" t="str">
        <f t="shared" si="1"/>
        <v>Distributor 2</v>
      </c>
      <c r="N14" s="8"/>
      <c r="O14" s="8"/>
      <c r="P14" s="8"/>
    </row>
    <row r="15" spans="1:16">
      <c r="A15" s="8" t="s">
        <v>47</v>
      </c>
      <c r="B15" s="19" t="s">
        <v>48</v>
      </c>
      <c r="C15" s="8"/>
      <c r="D15" s="8" t="s">
        <v>20</v>
      </c>
      <c r="E15" s="8"/>
      <c r="F15" s="8"/>
      <c r="G15" s="9">
        <v>40432</v>
      </c>
      <c r="H15" s="12">
        <v>1465813465</v>
      </c>
      <c r="I15" s="14">
        <f>0.2*H15</f>
        <v>293162693</v>
      </c>
      <c r="J15" s="8"/>
      <c r="K15" s="16">
        <f t="shared" si="0"/>
        <v>289937903.37700003</v>
      </c>
      <c r="L15" s="16"/>
      <c r="M15" s="8" t="str">
        <f t="shared" si="1"/>
        <v>Ranjit</v>
      </c>
      <c r="N15" s="8" t="s">
        <v>33</v>
      </c>
      <c r="O15" s="8"/>
      <c r="P15" s="8"/>
    </row>
    <row r="16" spans="1:16">
      <c r="A16" s="8" t="s">
        <v>49</v>
      </c>
      <c r="B16" s="19" t="s">
        <v>40</v>
      </c>
      <c r="C16" s="8"/>
      <c r="D16" s="8" t="s">
        <v>28</v>
      </c>
      <c r="E16" s="8"/>
      <c r="F16" s="8"/>
      <c r="G16" s="9">
        <v>44257</v>
      </c>
      <c r="H16" s="12">
        <v>41561574</v>
      </c>
      <c r="I16" s="11">
        <f>0.85*H16</f>
        <v>35327337.899999999</v>
      </c>
      <c r="J16" s="8"/>
      <c r="K16" s="16">
        <f t="shared" si="0"/>
        <v>8220879.3372</v>
      </c>
      <c r="L16" s="16"/>
      <c r="M16" s="8" t="str">
        <f>M13</f>
        <v>Distributor 2</v>
      </c>
      <c r="N16" s="8" t="s">
        <v>41</v>
      </c>
      <c r="O16" s="8"/>
      <c r="P16" s="8"/>
    </row>
    <row r="17" spans="1:16">
      <c r="A17" s="8" t="s">
        <v>50</v>
      </c>
      <c r="B17" s="19" t="s">
        <v>51</v>
      </c>
      <c r="C17" s="8"/>
      <c r="D17" s="8" t="s">
        <v>20</v>
      </c>
      <c r="E17" s="8"/>
      <c r="F17" s="8"/>
      <c r="G17" s="9">
        <v>39537</v>
      </c>
      <c r="H17" s="12">
        <f>H16*0.79</f>
        <v>32833643.460000001</v>
      </c>
      <c r="I17" s="11">
        <f>1.1*H17</f>
        <v>36117007.806000002</v>
      </c>
      <c r="J17" s="8"/>
      <c r="K17" s="16">
        <f t="shared" si="0"/>
        <v>6494494.6763880001</v>
      </c>
      <c r="L17" s="16"/>
      <c r="M17" s="8" t="str">
        <f>M12</f>
        <v>Distributor 1</v>
      </c>
      <c r="N17" s="8"/>
      <c r="O17" s="8"/>
      <c r="P17" s="8"/>
    </row>
    <row r="18" spans="1:16" s="18" customFormat="1">
      <c r="A18" s="4" t="s">
        <v>52</v>
      </c>
      <c r="B18" s="20" t="s">
        <v>53</v>
      </c>
      <c r="C18" s="4"/>
      <c r="D18" s="4" t="s">
        <v>20</v>
      </c>
      <c r="E18" s="4"/>
      <c r="F18" s="4"/>
      <c r="G18" s="10">
        <v>37267</v>
      </c>
      <c r="H18" s="13">
        <v>32699880</v>
      </c>
      <c r="I18" s="15">
        <f>0.2*H18</f>
        <v>6539976</v>
      </c>
      <c r="J18" s="4"/>
      <c r="K18" s="17">
        <f t="shared" si="0"/>
        <v>6468036.2640000004</v>
      </c>
      <c r="L18" s="17"/>
      <c r="M18" s="4" t="str">
        <f>M15</f>
        <v>Ranjit</v>
      </c>
      <c r="N18" s="4"/>
      <c r="O18" s="4"/>
      <c r="P18" s="4"/>
    </row>
    <row r="21" spans="1:16">
      <c r="B21" t="s">
        <v>54</v>
      </c>
    </row>
    <row r="23" spans="1:16">
      <c r="A23" s="24" t="s">
        <v>2</v>
      </c>
      <c r="B23" t="s">
        <v>55</v>
      </c>
    </row>
    <row r="24" spans="1:16">
      <c r="A24" s="25"/>
    </row>
    <row r="25" spans="1:16">
      <c r="A25" s="28" t="s">
        <v>56</v>
      </c>
      <c r="B25" t="s">
        <v>57</v>
      </c>
    </row>
    <row r="26" spans="1:16">
      <c r="A26" s="25"/>
    </row>
    <row r="27" spans="1:16">
      <c r="A27" s="26" t="s">
        <v>14</v>
      </c>
      <c r="B27" t="s">
        <v>58</v>
      </c>
    </row>
    <row r="28" spans="1:16">
      <c r="B28" t="s">
        <v>59</v>
      </c>
    </row>
    <row r="30" spans="1:16">
      <c r="A30" s="29" t="s">
        <v>60</v>
      </c>
    </row>
    <row r="31" spans="1:16">
      <c r="A31" s="30" t="s">
        <v>15</v>
      </c>
      <c r="B31" t="s">
        <v>61</v>
      </c>
    </row>
    <row r="32" spans="1:16">
      <c r="A32" s="30" t="s">
        <v>16</v>
      </c>
      <c r="B32" t="s">
        <v>62</v>
      </c>
    </row>
    <row r="33" spans="1:2">
      <c r="A33" s="30" t="s">
        <v>17</v>
      </c>
      <c r="B33" t="s">
        <v>63</v>
      </c>
    </row>
    <row r="1048572" spans="8:8">
      <c r="H1048572" s="12"/>
    </row>
  </sheetData>
  <autoFilter ref="A4:P18" xr:uid="{917AE4B1-C496-423B-866E-5B95203B1BCE}"/>
  <mergeCells count="1">
    <mergeCell ref="A1:A2"/>
  </mergeCells>
  <hyperlinks>
    <hyperlink ref="B5" r:id="rId1" xr:uid="{59339020-B371-478A-8258-30A32587F494}"/>
    <hyperlink ref="B6" r:id="rId2" xr:uid="{5F04D9E7-4373-4216-AF06-D63C3470988C}"/>
    <hyperlink ref="B7" r:id="rId3" xr:uid="{082597FE-2B32-4FD4-A056-91673E59910F}"/>
    <hyperlink ref="B8" r:id="rId4" xr:uid="{482B236C-753A-4FF3-9A97-2380DD1EC9B6}"/>
    <hyperlink ref="B9" r:id="rId5" xr:uid="{144E0DC3-F65E-4DD3-B04F-E8B0BB7D4591}"/>
    <hyperlink ref="B10" r:id="rId6" xr:uid="{170F4A8C-781D-4F5E-964F-6B916C67D88E}"/>
    <hyperlink ref="B11" r:id="rId7" xr:uid="{582B74C8-CB7D-4C4C-9CF4-24D2A7BE58FE}"/>
    <hyperlink ref="B12" r:id="rId8" xr:uid="{CA4BC861-9F9D-48F3-845E-EF9D6C0A3D14}"/>
    <hyperlink ref="B16" r:id="rId9" xr:uid="{9E485E1B-CA08-40ED-8102-296CABB8C7D7}"/>
    <hyperlink ref="B13" r:id="rId10" xr:uid="{E535A130-6453-4E3D-ABBA-1974526EACE9}"/>
    <hyperlink ref="B14" r:id="rId11" xr:uid="{7A235BC8-A54D-4A11-851F-47BE62E454A6}"/>
    <hyperlink ref="B15" r:id="rId12" xr:uid="{CBFB1518-440E-4FA4-A4B5-55D4C3709F6C}"/>
    <hyperlink ref="B17" r:id="rId13" xr:uid="{2ED5E50C-82CD-4015-BCAA-9021AFA85CE6}"/>
    <hyperlink ref="B18" r:id="rId14" xr:uid="{D2B40FAD-ED91-4932-A93A-7173DC79E5E7}"/>
  </hyperlinks>
  <pageMargins left="0.25" right="0.25" top="0.75" bottom="0.75" header="0.3" footer="0.3"/>
  <pageSetup paperSize="9" scale="10" fitToWidth="0" orientation="landscape" verticalDpi="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Aarav Khilnani</dc:creator>
  <cp:keywords/>
  <dc:description/>
  <cp:lastModifiedBy>Guest User</cp:lastModifiedBy>
  <cp:revision/>
  <dcterms:created xsi:type="dcterms:W3CDTF">2025-09-08T06:57:45Z</dcterms:created>
  <dcterms:modified xsi:type="dcterms:W3CDTF">2025-09-11T15:29:35Z</dcterms:modified>
  <cp:category/>
  <cp:contentStatus/>
</cp:coreProperties>
</file>